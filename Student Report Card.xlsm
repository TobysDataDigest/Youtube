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eso\OneDrive\Desktop\New folder\"/>
    </mc:Choice>
  </mc:AlternateContent>
  <xr:revisionPtr revIDLastSave="0" documentId="13_ncr:1_{7037FE41-4CFF-4A47-90EF-CFA9F022003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" sheetId="1" r:id="rId1"/>
    <sheet name="DATA" sheetId="2" r:id="rId2"/>
  </sheets>
  <functionGroups builtInGroupCount="19"/>
  <definedNames>
    <definedName name="_xleta.TODAY" hidden="1" xlm="1">#NAME?</definedName>
    <definedName name="_xlnm.Print_Area" localSheetId="0">REPORT!$B$2:$L$20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C15" i="1" a="1"/>
  <c r="C15" i="1" s="1"/>
  <c r="L2" i="1"/>
  <c r="D8" i="1" l="1"/>
  <c r="D7" i="1"/>
  <c r="D10" i="1"/>
  <c r="D1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<sst xmlns="http://schemas.openxmlformats.org/spreadsheetml/2006/main" count="165" uniqueCount="28">
  <si>
    <t>Date</t>
  </si>
  <si>
    <t>Student Age</t>
  </si>
  <si>
    <t>Student Class</t>
  </si>
  <si>
    <t>Student ID</t>
  </si>
  <si>
    <t>Student Name</t>
  </si>
  <si>
    <t>Average Grade</t>
  </si>
  <si>
    <t>Maths</t>
  </si>
  <si>
    <t>Science</t>
  </si>
  <si>
    <t>Economics</t>
  </si>
  <si>
    <t>Psychology</t>
  </si>
  <si>
    <t>Data</t>
  </si>
  <si>
    <t>Grades</t>
  </si>
  <si>
    <t>Details</t>
  </si>
  <si>
    <t>STUDENT ID</t>
  </si>
  <si>
    <t>Subject</t>
  </si>
  <si>
    <t>Grade</t>
  </si>
  <si>
    <t>Toby</t>
  </si>
  <si>
    <t>Rachel</t>
  </si>
  <si>
    <t>Cameron</t>
  </si>
  <si>
    <t>James</t>
  </si>
  <si>
    <t>Niyazur</t>
  </si>
  <si>
    <t>April</t>
  </si>
  <si>
    <t>Lauren</t>
  </si>
  <si>
    <t>Jamie</t>
  </si>
  <si>
    <t>Batman</t>
  </si>
  <si>
    <t>Dexter</t>
  </si>
  <si>
    <t>Class A</t>
  </si>
  <si>
    <t>Class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</si>
</sst>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C5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14" fontId="0" fillId="2" borderId="3" xfId="0" applyNumberFormat="1" applyFill="1" applyBorder="1"/>
    <xf numFmtId="0" fontId="1" fillId="2" borderId="2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0" xfId="0" applyFill="1" applyBorder="1"/>
    <xf numFmtId="0" fontId="1" fillId="0" borderId="0" xfId="0" applyFont="1" applyFill="1" applyBorder="1"/>
    <xf numFmtId="0" fontId="2" fillId="4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BC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Grades Achived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C5050"/>
            </a:solidFill>
            <a:ln>
              <a:noFill/>
            </a:ln>
            <a:effectLst/>
          </c:spPr>
          <c:invertIfNegative val="0"/>
          <c:cat>
            <c:strRef>
              <c:f>REPORT!$C$15:$C$19</c:f>
              <c:strCache>
                <c:ptCount val="5"/>
                <c:pt idx="0">
                  <c:v>Maths</c:v>
                </c:pt>
                <c:pt idx="1">
                  <c:v>Science</c:v>
                </c:pt>
                <c:pt idx="2">
                  <c:v>Economics</c:v>
                </c:pt>
                <c:pt idx="3">
                  <c:v>Psychology</c:v>
                </c:pt>
                <c:pt idx="4">
                  <c:v>Data</c:v>
                </c:pt>
              </c:strCache>
            </c:strRef>
          </c:cat>
          <c:val>
            <c:numRef>
              <c:f>REPORT!$D$15:$D$19</c:f>
              <c:numCache>
                <c:formatCode>General</c:formatCode>
                <c:ptCount val="5"/>
                <c:pt idx="0">
                  <c:v>82</c:v>
                </c:pt>
                <c:pt idx="1">
                  <c:v>85</c:v>
                </c:pt>
                <c:pt idx="2">
                  <c:v>57</c:v>
                </c:pt>
                <c:pt idx="3">
                  <c:v>96</c:v>
                </c:pt>
                <c:pt idx="4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C-439D-A015-04D1B52D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201071"/>
        <c:axId val="185181391"/>
      </c:barChart>
      <c:catAx>
        <c:axId val="185201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81391"/>
        <c:crosses val="autoZero"/>
        <c:auto val="1"/>
        <c:lblAlgn val="ctr"/>
        <c:lblOffset val="100"/>
        <c:noMultiLvlLbl val="0"/>
      </c:catAx>
      <c:valAx>
        <c:axId val="18518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01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39690</xdr:colOff>
      <xdr:row>1</xdr:row>
      <xdr:rowOff>22680</xdr:rowOff>
    </xdr:from>
    <xdr:to>
      <xdr:col>2</xdr:col>
      <xdr:colOff>164421</xdr:colOff>
      <xdr:row>3</xdr:row>
      <xdr:rowOff>68037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F9F5466-3345-29C5-C760-B7C37A6DE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011" y="221118"/>
          <a:ext cx="430892" cy="430892"/>
        </a:xfrm>
        <a:prstGeom prst="rect">
          <a:avLst/>
        </a:prstGeom>
      </xdr:spPr>
    </xdr:pic>
    <xdr:clientData/>
  </xdr:twoCellAnchor>
  <xdr:twoCellAnchor>
    <xdr:from>
      <xdr:col>2</xdr:col>
      <xdr:colOff>270781</xdr:colOff>
      <xdr:row>1</xdr:row>
      <xdr:rowOff>62367</xdr:rowOff>
    </xdr:from>
    <xdr:to>
      <xdr:col>7</xdr:col>
      <xdr:colOff>379865</xdr:colOff>
      <xdr:row>3</xdr:row>
      <xdr:rowOff>130403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EC7B919-0B1F-0B93-668C-4FB0629B07E2}"/>
            </a:ext>
          </a:extLst>
        </xdr:cNvPr>
        <xdr:cNvSpPr txBox="1"/>
      </xdr:nvSpPr>
      <xdr:spPr>
        <a:xfrm>
          <a:off x="1189263" y="260805"/>
          <a:ext cx="3170691" cy="4535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>
              <a:solidFill>
                <a:srgbClr val="BC5050"/>
              </a:solidFill>
            </a:rPr>
            <a:t>Tobys Data Digest Report Card.</a:t>
          </a:r>
        </a:p>
      </xdr:txBody>
    </xdr:sp>
    <xdr:clientData/>
  </xdr:twoCellAnchor>
  <xdr:twoCellAnchor>
    <xdr:from>
      <xdr:col>4</xdr:col>
      <xdr:colOff>259670</xdr:colOff>
      <xdr:row>4</xdr:row>
      <xdr:rowOff>193222</xdr:rowOff>
    </xdr:from>
    <xdr:to>
      <xdr:col>11</xdr:col>
      <xdr:colOff>500063</xdr:colOff>
      <xdr:row>19</xdr:row>
      <xdr:rowOff>10886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275592-E49F-F5E1-899F-89DFC28AB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5</xdr:row>
          <xdr:rowOff>28575</xdr:rowOff>
        </xdr:from>
        <xdr:to>
          <xdr:col>15</xdr:col>
          <xdr:colOff>381000</xdr:colOff>
          <xdr:row>8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2E27E3-D115-464C-9A98-9DFB02A7D13F}" name="Table1" displayName="Table1" ref="A1:F51" totalsRowShown="0" headerRowDxfId="0" dataDxfId="1">
  <autoFilter ref="A1:F51" xr:uid="{662E27E3-D115-464C-9A98-9DFB02A7D13F}"/>
  <tableColumns count="6">
    <tableColumn id="1" xr3:uid="{8D6F23A4-394F-49DA-B5B2-AD21A3C5E16D}" name="Student ID" dataDxfId="7"/>
    <tableColumn id="2" xr3:uid="{FCF15D04-2182-4F5C-B80B-91CDA7D08C94}" name="Student Name" dataDxfId="6"/>
    <tableColumn id="3" xr3:uid="{6E0A6DD5-B92D-49EF-960B-7584DAE74AF0}" name="Student Age" dataDxfId="5"/>
    <tableColumn id="4" xr3:uid="{EB6BC60C-BF26-4A28-AAF7-2C2B97CCA95D}" name="Student Class" dataDxfId="4"/>
    <tableColumn id="5" xr3:uid="{014689F5-14BB-4E22-A0F6-EAAD1E630EA2}" name="Subject" dataDxfId="3"/>
    <tableColumn id="6" xr3:uid="{A9257A0E-8394-4449-8C81-87A24A8C76C5}" name="Grad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fitToPage="1"/>
  </sheetPr>
  <dimension ref="B1:L20"/>
  <sheetViews>
    <sheetView tabSelected="1" zoomScale="157" zoomScaleNormal="157" workbookViewId="0">
      <selection activeCell="N3" sqref="N3"/>
    </sheetView>
  </sheetViews>
  <sheetFormatPr defaultRowHeight="15" x14ac:dyDescent="0.25"/>
  <cols>
    <col min="1" max="1" width="9.140625" style="9"/>
    <col min="2" max="2" width="4.5703125" style="9" customWidth="1"/>
    <col min="3" max="3" width="18" style="9" customWidth="1"/>
    <col min="4" max="5" width="9.140625" style="9"/>
    <col min="6" max="6" width="11.7109375" style="9" customWidth="1"/>
    <col min="7" max="7" width="9.140625" style="9"/>
    <col min="8" max="8" width="13.85546875" style="9" customWidth="1"/>
    <col min="9" max="9" width="11" style="9" customWidth="1"/>
    <col min="10" max="10" width="0.85546875" style="9" customWidth="1"/>
    <col min="11" max="11" width="9.140625" style="9"/>
    <col min="12" max="12" width="11.5703125" style="9" bestFit="1" customWidth="1"/>
    <col min="13" max="16384" width="9.140625" style="9"/>
  </cols>
  <sheetData>
    <row r="1" spans="2:12" ht="15.75" thickBot="1" x14ac:dyDescent="0.3"/>
    <row r="2" spans="2:12" x14ac:dyDescent="0.25">
      <c r="B2" s="1"/>
      <c r="C2" s="2"/>
      <c r="D2" s="2"/>
      <c r="E2" s="2"/>
      <c r="F2" s="2"/>
      <c r="G2" s="2"/>
      <c r="H2" s="2"/>
      <c r="I2" s="2"/>
      <c r="J2" s="2"/>
      <c r="K2" s="11" t="s">
        <v>0</v>
      </c>
      <c r="L2" s="10">
        <f ca="1">TODAY()</f>
        <v>45575</v>
      </c>
    </row>
    <row r="3" spans="2:12" x14ac:dyDescent="0.25">
      <c r="B3" s="3"/>
      <c r="C3" s="4"/>
      <c r="D3" s="4"/>
      <c r="E3" s="4"/>
      <c r="F3" s="4"/>
      <c r="G3" s="4"/>
      <c r="H3" s="4"/>
      <c r="I3" s="4"/>
      <c r="J3" s="4"/>
      <c r="K3" s="4"/>
      <c r="L3" s="5"/>
    </row>
    <row r="4" spans="2:12" x14ac:dyDescent="0.25">
      <c r="B4" s="3"/>
      <c r="C4" s="4"/>
      <c r="D4" s="4"/>
      <c r="E4" s="4"/>
      <c r="F4" s="4"/>
      <c r="G4" s="4"/>
      <c r="H4" s="4"/>
      <c r="I4" s="4"/>
      <c r="J4" s="4"/>
      <c r="K4" s="4"/>
      <c r="L4" s="5"/>
    </row>
    <row r="5" spans="2:12" ht="15.75" thickBot="1" x14ac:dyDescent="0.3">
      <c r="B5" s="3"/>
      <c r="C5" s="21" t="s">
        <v>13</v>
      </c>
      <c r="D5" s="21">
        <v>10</v>
      </c>
      <c r="E5" s="4"/>
      <c r="F5" s="4"/>
      <c r="G5" s="4"/>
      <c r="H5" s="4"/>
      <c r="I5" s="4"/>
      <c r="J5" s="4"/>
      <c r="K5" s="4"/>
      <c r="L5" s="5"/>
    </row>
    <row r="6" spans="2:12" x14ac:dyDescent="0.25">
      <c r="B6" s="3"/>
      <c r="C6" s="22" t="s">
        <v>12</v>
      </c>
      <c r="D6" s="23"/>
      <c r="E6" s="4"/>
      <c r="F6" s="4"/>
      <c r="G6" s="4"/>
      <c r="H6" s="4"/>
      <c r="I6" s="4"/>
      <c r="J6" s="4"/>
      <c r="K6" s="4"/>
      <c r="L6" s="5"/>
    </row>
    <row r="7" spans="2:12" x14ac:dyDescent="0.25">
      <c r="B7" s="3"/>
      <c r="C7" s="12" t="s">
        <v>3</v>
      </c>
      <c r="D7" s="12">
        <f>VLOOKUP($D$5,DATA!$A:$F,1,FALSE)</f>
        <v>10</v>
      </c>
      <c r="E7" s="4"/>
      <c r="F7" s="4"/>
      <c r="G7" s="4"/>
      <c r="H7" s="4"/>
      <c r="I7" s="4"/>
      <c r="J7" s="4"/>
      <c r="K7" s="4"/>
      <c r="L7" s="5"/>
    </row>
    <row r="8" spans="2:12" x14ac:dyDescent="0.25">
      <c r="B8" s="3"/>
      <c r="C8" s="12" t="s">
        <v>4</v>
      </c>
      <c r="D8" s="12" t="str">
        <f>VLOOKUP($D$5,DATA!$A:$F,2,FALSE)</f>
        <v>Dexter</v>
      </c>
      <c r="E8" s="4"/>
      <c r="F8" s="4"/>
      <c r="G8" s="4"/>
      <c r="H8" s="4"/>
      <c r="I8" s="4"/>
      <c r="J8" s="4"/>
      <c r="K8" s="4"/>
      <c r="L8" s="5"/>
    </row>
    <row r="9" spans="2:12" x14ac:dyDescent="0.25">
      <c r="B9" s="3"/>
      <c r="C9" s="12" t="s">
        <v>1</v>
      </c>
      <c r="D9" s="12">
        <f>VLOOKUP($D$5,DATA!$A:$F,3,FALSE)</f>
        <v>33</v>
      </c>
      <c r="E9" s="4"/>
      <c r="F9" s="4"/>
      <c r="G9" s="4"/>
      <c r="H9" s="4"/>
      <c r="I9" s="4"/>
      <c r="J9" s="4"/>
      <c r="K9" s="4"/>
      <c r="L9" s="5"/>
    </row>
    <row r="10" spans="2:12" x14ac:dyDescent="0.25">
      <c r="B10" s="3"/>
      <c r="C10" s="12" t="s">
        <v>2</v>
      </c>
      <c r="D10" s="12" t="str">
        <f>VLOOKUP($D$5,DATA!$A:$F,4,FALSE)</f>
        <v>Class B</v>
      </c>
      <c r="E10" s="4"/>
      <c r="F10" s="4"/>
      <c r="G10" s="4"/>
      <c r="H10" s="4"/>
      <c r="I10" s="4"/>
      <c r="J10" s="4"/>
      <c r="K10" s="4"/>
      <c r="L10" s="5"/>
    </row>
    <row r="11" spans="2:12" x14ac:dyDescent="0.25">
      <c r="B11" s="3"/>
      <c r="C11" s="12" t="s">
        <v>5</v>
      </c>
      <c r="D11" s="12">
        <f>AVERAGEIF(DATA!A:A,REPORT!D5,DATA!F:F)</f>
        <v>82.6</v>
      </c>
      <c r="E11" s="4"/>
      <c r="F11" s="4"/>
      <c r="G11" s="4"/>
      <c r="H11" s="4"/>
      <c r="I11" s="4"/>
      <c r="J11" s="4"/>
      <c r="K11" s="4"/>
      <c r="L11" s="5"/>
    </row>
    <row r="12" spans="2:12" x14ac:dyDescent="0.25">
      <c r="B12" s="3"/>
      <c r="C12" s="4"/>
      <c r="D12" s="4"/>
      <c r="E12" s="4"/>
      <c r="F12" s="4"/>
      <c r="G12" s="4"/>
      <c r="H12" s="4"/>
      <c r="I12" s="4"/>
      <c r="J12" s="4"/>
      <c r="K12" s="4"/>
      <c r="L12" s="5"/>
    </row>
    <row r="13" spans="2:12" ht="15.75" thickBot="1" x14ac:dyDescent="0.3">
      <c r="B13" s="3"/>
      <c r="C13" s="4"/>
      <c r="D13" s="4"/>
      <c r="E13" s="4"/>
      <c r="F13" s="4"/>
      <c r="G13" s="4"/>
      <c r="H13" s="4"/>
      <c r="I13" s="4"/>
      <c r="J13" s="4"/>
      <c r="K13" s="4"/>
      <c r="L13" s="5"/>
    </row>
    <row r="14" spans="2:12" ht="15.75" thickBot="1" x14ac:dyDescent="0.3">
      <c r="B14" s="3"/>
      <c r="C14" s="22" t="s">
        <v>11</v>
      </c>
      <c r="D14" s="23"/>
      <c r="E14" s="4"/>
      <c r="F14" s="4"/>
      <c r="G14" s="4"/>
      <c r="H14" s="4"/>
      <c r="I14" s="4"/>
      <c r="J14" s="4"/>
      <c r="K14" s="4"/>
      <c r="L14" s="5"/>
    </row>
    <row r="15" spans="2:12" x14ac:dyDescent="0.25">
      <c r="B15" s="3"/>
      <c r="C15" s="13" t="str" cm="1">
        <f t="array" ref="C15:D19">_xlfn._xlws.FILTER(DATA!$E:$F,DATA!$A:$A=REPORT!$D$5, "No Subjects")</f>
        <v>Maths</v>
      </c>
      <c r="D15" s="14">
        <v>82</v>
      </c>
      <c r="E15" s="4"/>
      <c r="F15" s="4"/>
      <c r="G15" s="4"/>
      <c r="H15" s="4"/>
      <c r="I15" s="4"/>
      <c r="J15" s="4"/>
      <c r="K15" s="4"/>
      <c r="L15" s="5"/>
    </row>
    <row r="16" spans="2:12" x14ac:dyDescent="0.25">
      <c r="B16" s="3"/>
      <c r="C16" s="15" t="str">
        <v>Science</v>
      </c>
      <c r="D16" s="16">
        <v>85</v>
      </c>
      <c r="E16" s="4"/>
      <c r="F16" s="4"/>
      <c r="G16" s="4"/>
      <c r="H16" s="4"/>
      <c r="I16" s="4"/>
      <c r="J16" s="4"/>
      <c r="K16" s="4"/>
      <c r="L16" s="5"/>
    </row>
    <row r="17" spans="2:12" x14ac:dyDescent="0.25">
      <c r="B17" s="3"/>
      <c r="C17" s="15" t="str">
        <v>Economics</v>
      </c>
      <c r="D17" s="16">
        <v>57</v>
      </c>
      <c r="E17" s="4"/>
      <c r="F17" s="4"/>
      <c r="G17" s="4"/>
      <c r="H17" s="4"/>
      <c r="I17" s="4"/>
      <c r="J17" s="4"/>
      <c r="K17" s="4"/>
      <c r="L17" s="5"/>
    </row>
    <row r="18" spans="2:12" x14ac:dyDescent="0.25">
      <c r="B18" s="3"/>
      <c r="C18" s="15" t="str">
        <v>Psychology</v>
      </c>
      <c r="D18" s="16">
        <v>96</v>
      </c>
      <c r="E18" s="4"/>
      <c r="F18" s="4"/>
      <c r="G18" s="4"/>
      <c r="H18" s="4"/>
      <c r="I18" s="4"/>
      <c r="J18" s="4"/>
      <c r="K18" s="4"/>
      <c r="L18" s="5"/>
    </row>
    <row r="19" spans="2:12" ht="15.75" thickBot="1" x14ac:dyDescent="0.3">
      <c r="B19" s="3"/>
      <c r="C19" s="17" t="str">
        <v>Data</v>
      </c>
      <c r="D19" s="18">
        <v>93</v>
      </c>
      <c r="E19" s="4"/>
      <c r="F19" s="4"/>
      <c r="G19" s="4"/>
      <c r="H19" s="4"/>
      <c r="I19" s="4"/>
      <c r="J19" s="4"/>
      <c r="K19" s="4"/>
      <c r="L19" s="5"/>
    </row>
    <row r="20" spans="2:12" ht="37.5" customHeight="1" thickBot="1" x14ac:dyDescent="0.3">
      <c r="B20" s="6"/>
      <c r="C20" s="7"/>
      <c r="D20" s="7"/>
      <c r="E20" s="7"/>
      <c r="F20" s="7"/>
      <c r="G20" s="7"/>
      <c r="H20" s="7"/>
      <c r="I20" s="7"/>
      <c r="J20" s="7"/>
      <c r="K20" s="7"/>
      <c r="L20" s="8"/>
    </row>
  </sheetData>
  <mergeCells count="2">
    <mergeCell ref="C6:D6"/>
    <mergeCell ref="C14:D14"/>
  </mergeCells>
  <printOptions horizontalCentered="1" verticalCentered="1"/>
  <pageMargins left="0.70866141732283472" right="0.7" top="0.74803149606299213" bottom="0.42" header="0.31496062992125984" footer="0.31496062992125984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portReportForEachD5Value">
                <anchor moveWithCells="1" sizeWithCells="1">
                  <from>
                    <xdr:col>12</xdr:col>
                    <xdr:colOff>209550</xdr:colOff>
                    <xdr:row>5</xdr:row>
                    <xdr:rowOff>28575</xdr:rowOff>
                  </from>
                  <to>
                    <xdr:col>15</xdr:col>
                    <xdr:colOff>381000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42BE9E6-B3E1-4119-B92E-941837F426EA}">
          <x14:formula1>
            <xm:f>DATA!$A$2:$A$1048576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C26DE-91D9-410F-9A13-C90FD016142D}">
  <sheetPr codeName="Sheet2">
    <tabColor rgb="FFBC5050"/>
  </sheetPr>
  <dimension ref="A1:F51"/>
  <sheetViews>
    <sheetView topLeftCell="A35" zoomScale="205" workbookViewId="0">
      <selection activeCell="A2" sqref="A2:A51"/>
    </sheetView>
  </sheetViews>
  <sheetFormatPr defaultRowHeight="15" x14ac:dyDescent="0.25"/>
  <cols>
    <col min="1" max="1" width="10.7109375" style="19" customWidth="1"/>
    <col min="2" max="2" width="14" style="19" customWidth="1"/>
    <col min="3" max="3" width="12" style="19" customWidth="1"/>
    <col min="4" max="4" width="13.140625" style="19" customWidth="1"/>
    <col min="5" max="5" width="8" style="19" customWidth="1"/>
    <col min="6" max="6" width="6.85546875" style="19" customWidth="1"/>
    <col min="7" max="16384" width="9.140625" style="19"/>
  </cols>
  <sheetData>
    <row r="1" spans="1:6" s="20" customFormat="1" x14ac:dyDescent="0.25">
      <c r="A1" s="20" t="s">
        <v>3</v>
      </c>
      <c r="B1" s="20" t="s">
        <v>4</v>
      </c>
      <c r="C1" s="20" t="s">
        <v>1</v>
      </c>
      <c r="D1" s="20" t="s">
        <v>2</v>
      </c>
      <c r="E1" s="20" t="s">
        <v>14</v>
      </c>
      <c r="F1" s="20" t="s">
        <v>15</v>
      </c>
    </row>
    <row r="2" spans="1:6" x14ac:dyDescent="0.25">
      <c r="A2" s="19">
        <v>1</v>
      </c>
      <c r="B2" s="19" t="s">
        <v>16</v>
      </c>
      <c r="C2" s="19">
        <v>34</v>
      </c>
      <c r="D2" s="19" t="s">
        <v>26</v>
      </c>
      <c r="E2" s="19" t="s">
        <v>6</v>
      </c>
      <c r="F2" s="19">
        <v>80</v>
      </c>
    </row>
    <row r="3" spans="1:6" x14ac:dyDescent="0.25">
      <c r="A3" s="19">
        <v>1</v>
      </c>
      <c r="B3" s="19" t="s">
        <v>16</v>
      </c>
      <c r="C3" s="19">
        <v>34</v>
      </c>
      <c r="D3" s="19" t="s">
        <v>26</v>
      </c>
      <c r="E3" s="19" t="s">
        <v>7</v>
      </c>
      <c r="F3" s="19">
        <v>73</v>
      </c>
    </row>
    <row r="4" spans="1:6" x14ac:dyDescent="0.25">
      <c r="A4" s="19">
        <v>1</v>
      </c>
      <c r="B4" s="19" t="s">
        <v>16</v>
      </c>
      <c r="C4" s="19">
        <v>34</v>
      </c>
      <c r="D4" s="19" t="s">
        <v>26</v>
      </c>
      <c r="E4" s="19" t="s">
        <v>8</v>
      </c>
      <c r="F4" s="19">
        <v>57</v>
      </c>
    </row>
    <row r="5" spans="1:6" x14ac:dyDescent="0.25">
      <c r="A5" s="19">
        <v>1</v>
      </c>
      <c r="B5" s="19" t="s">
        <v>16</v>
      </c>
      <c r="C5" s="19">
        <v>34</v>
      </c>
      <c r="D5" s="19" t="s">
        <v>26</v>
      </c>
      <c r="E5" s="19" t="s">
        <v>9</v>
      </c>
      <c r="F5" s="19">
        <v>71</v>
      </c>
    </row>
    <row r="6" spans="1:6" x14ac:dyDescent="0.25">
      <c r="A6" s="19">
        <v>1</v>
      </c>
      <c r="B6" s="19" t="s">
        <v>16</v>
      </c>
      <c r="C6" s="19">
        <v>34</v>
      </c>
      <c r="D6" s="19" t="s">
        <v>26</v>
      </c>
      <c r="E6" s="19" t="s">
        <v>10</v>
      </c>
      <c r="F6" s="19">
        <v>59</v>
      </c>
    </row>
    <row r="7" spans="1:6" x14ac:dyDescent="0.25">
      <c r="A7" s="19">
        <v>2</v>
      </c>
      <c r="B7" s="19" t="s">
        <v>17</v>
      </c>
      <c r="C7" s="19">
        <v>26</v>
      </c>
      <c r="D7" s="19" t="s">
        <v>26</v>
      </c>
      <c r="E7" s="19" t="s">
        <v>6</v>
      </c>
      <c r="F7" s="19">
        <v>75</v>
      </c>
    </row>
    <row r="8" spans="1:6" x14ac:dyDescent="0.25">
      <c r="A8" s="19">
        <v>2</v>
      </c>
      <c r="B8" s="19" t="s">
        <v>17</v>
      </c>
      <c r="C8" s="19">
        <v>26</v>
      </c>
      <c r="D8" s="19" t="s">
        <v>26</v>
      </c>
      <c r="E8" s="19" t="s">
        <v>7</v>
      </c>
      <c r="F8" s="19">
        <v>78</v>
      </c>
    </row>
    <row r="9" spans="1:6" x14ac:dyDescent="0.25">
      <c r="A9" s="19">
        <v>2</v>
      </c>
      <c r="B9" s="19" t="s">
        <v>17</v>
      </c>
      <c r="C9" s="19">
        <v>26</v>
      </c>
      <c r="D9" s="19" t="s">
        <v>26</v>
      </c>
      <c r="E9" s="19" t="s">
        <v>8</v>
      </c>
      <c r="F9" s="19">
        <v>75</v>
      </c>
    </row>
    <row r="10" spans="1:6" x14ac:dyDescent="0.25">
      <c r="A10" s="19">
        <v>2</v>
      </c>
      <c r="B10" s="19" t="s">
        <v>17</v>
      </c>
      <c r="C10" s="19">
        <v>26</v>
      </c>
      <c r="D10" s="19" t="s">
        <v>26</v>
      </c>
      <c r="E10" s="19" t="s">
        <v>9</v>
      </c>
      <c r="F10" s="19">
        <v>72</v>
      </c>
    </row>
    <row r="11" spans="1:6" x14ac:dyDescent="0.25">
      <c r="A11" s="19">
        <v>2</v>
      </c>
      <c r="B11" s="19" t="s">
        <v>17</v>
      </c>
      <c r="C11" s="19">
        <v>26</v>
      </c>
      <c r="D11" s="19" t="s">
        <v>26</v>
      </c>
      <c r="E11" s="19" t="s">
        <v>10</v>
      </c>
      <c r="F11" s="19">
        <v>58</v>
      </c>
    </row>
    <row r="12" spans="1:6" x14ac:dyDescent="0.25">
      <c r="A12" s="19">
        <v>3</v>
      </c>
      <c r="B12" s="19" t="s">
        <v>18</v>
      </c>
      <c r="C12" s="19">
        <v>26</v>
      </c>
      <c r="D12" s="19" t="s">
        <v>26</v>
      </c>
      <c r="E12" s="19" t="s">
        <v>6</v>
      </c>
      <c r="F12" s="19">
        <v>53</v>
      </c>
    </row>
    <row r="13" spans="1:6" x14ac:dyDescent="0.25">
      <c r="A13" s="19">
        <v>3</v>
      </c>
      <c r="B13" s="19" t="s">
        <v>18</v>
      </c>
      <c r="C13" s="19">
        <v>26</v>
      </c>
      <c r="D13" s="19" t="s">
        <v>26</v>
      </c>
      <c r="E13" s="19" t="s">
        <v>7</v>
      </c>
      <c r="F13" s="19">
        <v>52</v>
      </c>
    </row>
    <row r="14" spans="1:6" x14ac:dyDescent="0.25">
      <c r="A14" s="19">
        <v>3</v>
      </c>
      <c r="B14" s="19" t="s">
        <v>18</v>
      </c>
      <c r="C14" s="19">
        <v>26</v>
      </c>
      <c r="D14" s="19" t="s">
        <v>26</v>
      </c>
      <c r="E14" s="19" t="s">
        <v>8</v>
      </c>
      <c r="F14" s="19">
        <v>79</v>
      </c>
    </row>
    <row r="15" spans="1:6" x14ac:dyDescent="0.25">
      <c r="A15" s="19">
        <v>3</v>
      </c>
      <c r="B15" s="19" t="s">
        <v>18</v>
      </c>
      <c r="C15" s="19">
        <v>26</v>
      </c>
      <c r="D15" s="19" t="s">
        <v>26</v>
      </c>
      <c r="E15" s="19" t="s">
        <v>9</v>
      </c>
      <c r="F15" s="19">
        <v>76</v>
      </c>
    </row>
    <row r="16" spans="1:6" x14ac:dyDescent="0.25">
      <c r="A16" s="19">
        <v>3</v>
      </c>
      <c r="B16" s="19" t="s">
        <v>18</v>
      </c>
      <c r="C16" s="19">
        <v>26</v>
      </c>
      <c r="D16" s="19" t="s">
        <v>26</v>
      </c>
      <c r="E16" s="19" t="s">
        <v>10</v>
      </c>
      <c r="F16" s="19">
        <v>94</v>
      </c>
    </row>
    <row r="17" spans="1:6" x14ac:dyDescent="0.25">
      <c r="A17" s="19">
        <v>4</v>
      </c>
      <c r="B17" s="19" t="s">
        <v>19</v>
      </c>
      <c r="C17" s="19">
        <v>35</v>
      </c>
      <c r="D17" s="19" t="s">
        <v>26</v>
      </c>
      <c r="E17" s="19" t="s">
        <v>6</v>
      </c>
      <c r="F17" s="19">
        <v>100</v>
      </c>
    </row>
    <row r="18" spans="1:6" x14ac:dyDescent="0.25">
      <c r="A18" s="19">
        <v>4</v>
      </c>
      <c r="B18" s="19" t="s">
        <v>19</v>
      </c>
      <c r="C18" s="19">
        <v>35</v>
      </c>
      <c r="D18" s="19" t="s">
        <v>26</v>
      </c>
      <c r="E18" s="19" t="s">
        <v>7</v>
      </c>
      <c r="F18" s="19">
        <v>80</v>
      </c>
    </row>
    <row r="19" spans="1:6" x14ac:dyDescent="0.25">
      <c r="A19" s="19">
        <v>4</v>
      </c>
      <c r="B19" s="19" t="s">
        <v>19</v>
      </c>
      <c r="C19" s="19">
        <v>35</v>
      </c>
      <c r="D19" s="19" t="s">
        <v>26</v>
      </c>
      <c r="E19" s="19" t="s">
        <v>8</v>
      </c>
      <c r="F19" s="19">
        <v>74</v>
      </c>
    </row>
    <row r="20" spans="1:6" x14ac:dyDescent="0.25">
      <c r="A20" s="19">
        <v>4</v>
      </c>
      <c r="B20" s="19" t="s">
        <v>19</v>
      </c>
      <c r="C20" s="19">
        <v>35</v>
      </c>
      <c r="D20" s="19" t="s">
        <v>26</v>
      </c>
      <c r="E20" s="19" t="s">
        <v>9</v>
      </c>
      <c r="F20" s="19">
        <v>56</v>
      </c>
    </row>
    <row r="21" spans="1:6" x14ac:dyDescent="0.25">
      <c r="A21" s="19">
        <v>4</v>
      </c>
      <c r="B21" s="19" t="s">
        <v>19</v>
      </c>
      <c r="C21" s="19">
        <v>35</v>
      </c>
      <c r="D21" s="19" t="s">
        <v>26</v>
      </c>
      <c r="E21" s="19" t="s">
        <v>10</v>
      </c>
      <c r="F21" s="19">
        <v>74</v>
      </c>
    </row>
    <row r="22" spans="1:6" x14ac:dyDescent="0.25">
      <c r="A22" s="19">
        <v>5</v>
      </c>
      <c r="B22" s="19" t="s">
        <v>20</v>
      </c>
      <c r="C22" s="19">
        <v>34</v>
      </c>
      <c r="D22" s="19" t="s">
        <v>26</v>
      </c>
      <c r="E22" s="19" t="s">
        <v>6</v>
      </c>
      <c r="F22" s="19">
        <v>80</v>
      </c>
    </row>
    <row r="23" spans="1:6" x14ac:dyDescent="0.25">
      <c r="A23" s="19">
        <v>5</v>
      </c>
      <c r="B23" s="19" t="s">
        <v>20</v>
      </c>
      <c r="C23" s="19">
        <v>34</v>
      </c>
      <c r="D23" s="19" t="s">
        <v>26</v>
      </c>
      <c r="E23" s="19" t="s">
        <v>7</v>
      </c>
      <c r="F23" s="19">
        <v>72</v>
      </c>
    </row>
    <row r="24" spans="1:6" x14ac:dyDescent="0.25">
      <c r="A24" s="19">
        <v>5</v>
      </c>
      <c r="B24" s="19" t="s">
        <v>20</v>
      </c>
      <c r="C24" s="19">
        <v>34</v>
      </c>
      <c r="D24" s="19" t="s">
        <v>26</v>
      </c>
      <c r="E24" s="19" t="s">
        <v>8</v>
      </c>
      <c r="F24" s="19">
        <v>61</v>
      </c>
    </row>
    <row r="25" spans="1:6" x14ac:dyDescent="0.25">
      <c r="A25" s="19">
        <v>5</v>
      </c>
      <c r="B25" s="19" t="s">
        <v>20</v>
      </c>
      <c r="C25" s="19">
        <v>34</v>
      </c>
      <c r="D25" s="19" t="s">
        <v>26</v>
      </c>
      <c r="E25" s="19" t="s">
        <v>9</v>
      </c>
      <c r="F25" s="19">
        <v>99</v>
      </c>
    </row>
    <row r="26" spans="1:6" x14ac:dyDescent="0.25">
      <c r="A26" s="19">
        <v>5</v>
      </c>
      <c r="B26" s="19" t="s">
        <v>20</v>
      </c>
      <c r="C26" s="19">
        <v>34</v>
      </c>
      <c r="D26" s="19" t="s">
        <v>26</v>
      </c>
      <c r="E26" s="19" t="s">
        <v>10</v>
      </c>
      <c r="F26" s="19">
        <v>84</v>
      </c>
    </row>
    <row r="27" spans="1:6" x14ac:dyDescent="0.25">
      <c r="A27" s="19">
        <v>6</v>
      </c>
      <c r="B27" s="19" t="s">
        <v>21</v>
      </c>
      <c r="C27" s="19">
        <v>34</v>
      </c>
      <c r="D27" s="19" t="s">
        <v>27</v>
      </c>
      <c r="E27" s="19" t="s">
        <v>6</v>
      </c>
      <c r="F27" s="19">
        <v>80</v>
      </c>
    </row>
    <row r="28" spans="1:6" x14ac:dyDescent="0.25">
      <c r="A28" s="19">
        <v>6</v>
      </c>
      <c r="B28" s="19" t="s">
        <v>21</v>
      </c>
      <c r="C28" s="19">
        <v>34</v>
      </c>
      <c r="D28" s="19" t="s">
        <v>27</v>
      </c>
      <c r="E28" s="19" t="s">
        <v>7</v>
      </c>
      <c r="F28" s="19">
        <v>94</v>
      </c>
    </row>
    <row r="29" spans="1:6" x14ac:dyDescent="0.25">
      <c r="A29" s="19">
        <v>6</v>
      </c>
      <c r="B29" s="19" t="s">
        <v>21</v>
      </c>
      <c r="C29" s="19">
        <v>34</v>
      </c>
      <c r="D29" s="19" t="s">
        <v>27</v>
      </c>
      <c r="E29" s="19" t="s">
        <v>8</v>
      </c>
      <c r="F29" s="19">
        <v>89</v>
      </c>
    </row>
    <row r="30" spans="1:6" x14ac:dyDescent="0.25">
      <c r="A30" s="19">
        <v>6</v>
      </c>
      <c r="B30" s="19" t="s">
        <v>21</v>
      </c>
      <c r="C30" s="19">
        <v>34</v>
      </c>
      <c r="D30" s="19" t="s">
        <v>27</v>
      </c>
      <c r="E30" s="19" t="s">
        <v>9</v>
      </c>
      <c r="F30" s="19">
        <v>73</v>
      </c>
    </row>
    <row r="31" spans="1:6" x14ac:dyDescent="0.25">
      <c r="A31" s="19">
        <v>6</v>
      </c>
      <c r="B31" s="19" t="s">
        <v>21</v>
      </c>
      <c r="C31" s="19">
        <v>34</v>
      </c>
      <c r="D31" s="19" t="s">
        <v>27</v>
      </c>
      <c r="E31" s="19" t="s">
        <v>10</v>
      </c>
      <c r="F31" s="19">
        <v>64</v>
      </c>
    </row>
    <row r="32" spans="1:6" x14ac:dyDescent="0.25">
      <c r="A32" s="19">
        <v>7</v>
      </c>
      <c r="B32" s="19" t="s">
        <v>22</v>
      </c>
      <c r="C32" s="19">
        <v>33</v>
      </c>
      <c r="D32" s="19" t="s">
        <v>27</v>
      </c>
      <c r="E32" s="19" t="s">
        <v>6</v>
      </c>
      <c r="F32" s="19">
        <v>95</v>
      </c>
    </row>
    <row r="33" spans="1:6" x14ac:dyDescent="0.25">
      <c r="A33" s="19">
        <v>7</v>
      </c>
      <c r="B33" s="19" t="s">
        <v>22</v>
      </c>
      <c r="C33" s="19">
        <v>33</v>
      </c>
      <c r="D33" s="19" t="s">
        <v>27</v>
      </c>
      <c r="E33" s="19" t="s">
        <v>7</v>
      </c>
      <c r="F33" s="19">
        <v>56</v>
      </c>
    </row>
    <row r="34" spans="1:6" x14ac:dyDescent="0.25">
      <c r="A34" s="19">
        <v>7</v>
      </c>
      <c r="B34" s="19" t="s">
        <v>22</v>
      </c>
      <c r="C34" s="19">
        <v>33</v>
      </c>
      <c r="D34" s="19" t="s">
        <v>27</v>
      </c>
      <c r="E34" s="19" t="s">
        <v>8</v>
      </c>
      <c r="F34" s="19">
        <v>57</v>
      </c>
    </row>
    <row r="35" spans="1:6" x14ac:dyDescent="0.25">
      <c r="A35" s="19">
        <v>7</v>
      </c>
      <c r="B35" s="19" t="s">
        <v>22</v>
      </c>
      <c r="C35" s="19">
        <v>33</v>
      </c>
      <c r="D35" s="19" t="s">
        <v>27</v>
      </c>
      <c r="E35" s="19" t="s">
        <v>9</v>
      </c>
      <c r="F35" s="19">
        <v>61</v>
      </c>
    </row>
    <row r="36" spans="1:6" x14ac:dyDescent="0.25">
      <c r="A36" s="19">
        <v>7</v>
      </c>
      <c r="B36" s="19" t="s">
        <v>22</v>
      </c>
      <c r="C36" s="19">
        <v>33</v>
      </c>
      <c r="D36" s="19" t="s">
        <v>27</v>
      </c>
      <c r="E36" s="19" t="s">
        <v>10</v>
      </c>
      <c r="F36" s="19">
        <v>81</v>
      </c>
    </row>
    <row r="37" spans="1:6" x14ac:dyDescent="0.25">
      <c r="A37" s="19">
        <v>8</v>
      </c>
      <c r="B37" s="19" t="s">
        <v>23</v>
      </c>
      <c r="C37" s="19">
        <v>29</v>
      </c>
      <c r="D37" s="19" t="s">
        <v>27</v>
      </c>
      <c r="E37" s="19" t="s">
        <v>6</v>
      </c>
      <c r="F37" s="19">
        <v>71</v>
      </c>
    </row>
    <row r="38" spans="1:6" x14ac:dyDescent="0.25">
      <c r="A38" s="19">
        <v>8</v>
      </c>
      <c r="B38" s="19" t="s">
        <v>23</v>
      </c>
      <c r="C38" s="19">
        <v>29</v>
      </c>
      <c r="D38" s="19" t="s">
        <v>27</v>
      </c>
      <c r="E38" s="19" t="s">
        <v>7</v>
      </c>
      <c r="F38" s="19">
        <v>92</v>
      </c>
    </row>
    <row r="39" spans="1:6" x14ac:dyDescent="0.25">
      <c r="A39" s="19">
        <v>8</v>
      </c>
      <c r="B39" s="19" t="s">
        <v>23</v>
      </c>
      <c r="C39" s="19">
        <v>29</v>
      </c>
      <c r="D39" s="19" t="s">
        <v>27</v>
      </c>
      <c r="E39" s="19" t="s">
        <v>8</v>
      </c>
      <c r="F39" s="19">
        <v>61</v>
      </c>
    </row>
    <row r="40" spans="1:6" x14ac:dyDescent="0.25">
      <c r="A40" s="19">
        <v>8</v>
      </c>
      <c r="B40" s="19" t="s">
        <v>23</v>
      </c>
      <c r="C40" s="19">
        <v>29</v>
      </c>
      <c r="D40" s="19" t="s">
        <v>27</v>
      </c>
      <c r="E40" s="19" t="s">
        <v>9</v>
      </c>
      <c r="F40" s="19">
        <v>82</v>
      </c>
    </row>
    <row r="41" spans="1:6" x14ac:dyDescent="0.25">
      <c r="A41" s="19">
        <v>8</v>
      </c>
      <c r="B41" s="19" t="s">
        <v>23</v>
      </c>
      <c r="C41" s="19">
        <v>29</v>
      </c>
      <c r="D41" s="19" t="s">
        <v>27</v>
      </c>
      <c r="E41" s="19" t="s">
        <v>10</v>
      </c>
      <c r="F41" s="19">
        <v>96</v>
      </c>
    </row>
    <row r="42" spans="1:6" x14ac:dyDescent="0.25">
      <c r="A42" s="19">
        <v>9</v>
      </c>
      <c r="B42" s="19" t="s">
        <v>24</v>
      </c>
      <c r="C42" s="19">
        <v>31</v>
      </c>
      <c r="D42" s="19" t="s">
        <v>27</v>
      </c>
      <c r="E42" s="19" t="s">
        <v>6</v>
      </c>
      <c r="F42" s="19">
        <v>85</v>
      </c>
    </row>
    <row r="43" spans="1:6" x14ac:dyDescent="0.25">
      <c r="A43" s="19">
        <v>9</v>
      </c>
      <c r="B43" s="19" t="s">
        <v>24</v>
      </c>
      <c r="C43" s="19">
        <v>31</v>
      </c>
      <c r="D43" s="19" t="s">
        <v>27</v>
      </c>
      <c r="E43" s="19" t="s">
        <v>7</v>
      </c>
      <c r="F43" s="19">
        <v>51</v>
      </c>
    </row>
    <row r="44" spans="1:6" x14ac:dyDescent="0.25">
      <c r="A44" s="19">
        <v>9</v>
      </c>
      <c r="B44" s="19" t="s">
        <v>24</v>
      </c>
      <c r="C44" s="19">
        <v>31</v>
      </c>
      <c r="D44" s="19" t="s">
        <v>27</v>
      </c>
      <c r="E44" s="19" t="s">
        <v>8</v>
      </c>
      <c r="F44" s="19">
        <v>96</v>
      </c>
    </row>
    <row r="45" spans="1:6" x14ac:dyDescent="0.25">
      <c r="A45" s="19">
        <v>9</v>
      </c>
      <c r="B45" s="19" t="s">
        <v>24</v>
      </c>
      <c r="C45" s="19">
        <v>31</v>
      </c>
      <c r="D45" s="19" t="s">
        <v>27</v>
      </c>
      <c r="E45" s="19" t="s">
        <v>9</v>
      </c>
      <c r="F45" s="19">
        <v>67</v>
      </c>
    </row>
    <row r="46" spans="1:6" x14ac:dyDescent="0.25">
      <c r="A46" s="19">
        <v>9</v>
      </c>
      <c r="B46" s="19" t="s">
        <v>24</v>
      </c>
      <c r="C46" s="19">
        <v>31</v>
      </c>
      <c r="D46" s="19" t="s">
        <v>27</v>
      </c>
      <c r="E46" s="19" t="s">
        <v>10</v>
      </c>
      <c r="F46" s="19">
        <v>66</v>
      </c>
    </row>
    <row r="47" spans="1:6" x14ac:dyDescent="0.25">
      <c r="A47" s="19">
        <v>10</v>
      </c>
      <c r="B47" s="19" t="s">
        <v>25</v>
      </c>
      <c r="C47" s="19">
        <v>33</v>
      </c>
      <c r="D47" s="19" t="s">
        <v>27</v>
      </c>
      <c r="E47" s="19" t="s">
        <v>6</v>
      </c>
      <c r="F47" s="19">
        <v>82</v>
      </c>
    </row>
    <row r="48" spans="1:6" x14ac:dyDescent="0.25">
      <c r="A48" s="19">
        <v>10</v>
      </c>
      <c r="B48" s="19" t="s">
        <v>25</v>
      </c>
      <c r="C48" s="19">
        <v>33</v>
      </c>
      <c r="D48" s="19" t="s">
        <v>27</v>
      </c>
      <c r="E48" s="19" t="s">
        <v>7</v>
      </c>
      <c r="F48" s="19">
        <v>85</v>
      </c>
    </row>
    <row r="49" spans="1:6" x14ac:dyDescent="0.25">
      <c r="A49" s="19">
        <v>10</v>
      </c>
      <c r="B49" s="19" t="s">
        <v>25</v>
      </c>
      <c r="C49" s="19">
        <v>33</v>
      </c>
      <c r="D49" s="19" t="s">
        <v>27</v>
      </c>
      <c r="E49" s="19" t="s">
        <v>8</v>
      </c>
      <c r="F49" s="19">
        <v>57</v>
      </c>
    </row>
    <row r="50" spans="1:6" x14ac:dyDescent="0.25">
      <c r="A50" s="19">
        <v>10</v>
      </c>
      <c r="B50" s="19" t="s">
        <v>25</v>
      </c>
      <c r="C50" s="19">
        <v>33</v>
      </c>
      <c r="D50" s="19" t="s">
        <v>27</v>
      </c>
      <c r="E50" s="19" t="s">
        <v>9</v>
      </c>
      <c r="F50" s="19">
        <v>96</v>
      </c>
    </row>
    <row r="51" spans="1:6" x14ac:dyDescent="0.25">
      <c r="A51" s="19">
        <v>10</v>
      </c>
      <c r="B51" s="19" t="s">
        <v>25</v>
      </c>
      <c r="C51" s="19">
        <v>33</v>
      </c>
      <c r="D51" s="19" t="s">
        <v>27</v>
      </c>
      <c r="E51" s="19" t="s">
        <v>10</v>
      </c>
      <c r="F51" s="19">
        <v>93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</vt:lpstr>
      <vt:lpstr>DATA</vt:lpstr>
      <vt:lpstr>REPORT!Print_Area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Toby Geeson</dc:creator>
  <cp:lastModifiedBy>Toby Geeson</cp:lastModifiedBy>
  <cp:lastPrinted>2024-10-10T14:09:33Z</cp:lastPrinted>
  <dcterms:created xsi:type="dcterms:W3CDTF">2015-06-05T18:17:20Z</dcterms:created>
  <dcterms:modified xsi:type="dcterms:W3CDTF">2024-10-10T14:09:37Z</dcterms:modified>
</cp:coreProperties>
</file>